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D75A928B-D95A-4FD1-8038-105DEC77F3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Tabela_Perfil" sheetId="2" r:id="rId2"/>
  </sheets>
  <definedNames>
    <definedName name="aport">Planilha1!$D$14:$D$14</definedName>
    <definedName name="aporte">Planilha1!$D$14:$D$14</definedName>
    <definedName name="patrimonio">Planilha1!$D$17:$D$17</definedName>
    <definedName name="qtd_anos">Planilha1!$D$15:$D$15</definedName>
    <definedName name="rendimento_carteira">Planilha1!$D$10:$D$10</definedName>
    <definedName name="salario">Planilha1!$D$9:$D$9</definedName>
    <definedName name="sugestao_investimento">Planilha1!$D$11:$D$11</definedName>
    <definedName name="taxa_mensal">Planilha1!$D$16:$D$16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H5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A4" i="2"/>
  <c r="A5" i="2"/>
  <c r="A6" i="2"/>
  <c r="A7" i="2"/>
  <c r="A8" i="2"/>
  <c r="C29" i="1" a="1"/>
  <c r="C29" i="1"/>
  <c r="D17" i="1" a="1"/>
  <c r="D17" i="1"/>
  <c r="D18" i="1" s="1" a="1"/>
  <c r="D18" i="1" s="1"/>
  <c r="C21" i="1"/>
  <c r="D21" i="1" s="1" a="1"/>
  <c r="D21" i="1" s="1"/>
  <c r="D11" i="1"/>
  <c r="C22" i="1"/>
  <c r="D22" i="1" s="1" a="1"/>
  <c r="D22" i="1" s="1"/>
  <c r="C23" i="1"/>
  <c r="D23" i="1" s="1" a="1"/>
  <c r="D23" i="1" s="1"/>
  <c r="C24" i="1"/>
  <c r="D24" i="1" s="1" a="1"/>
  <c r="D24" i="1" s="1"/>
  <c r="C25" i="1"/>
  <c r="D25" i="1" s="1" a="1"/>
  <c r="D25" i="1" s="1"/>
  <c r="D32" i="1" l="1"/>
  <c r="D33" i="1"/>
  <c r="D34" i="1"/>
  <c r="D35" i="1"/>
  <c r="D36" i="1"/>
  <c r="D37" i="1"/>
  <c r="D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<sst xmlns="http://schemas.openxmlformats.org/spreadsheetml/2006/main" count="77" uniqueCount="41">
  <si>
    <t>Pré-configurações</t>
  </si>
  <si>
    <t>Seu salário:</t>
  </si>
  <si>
    <t>Informe seu salário</t>
  </si>
  <si>
    <t>Rendimento da carteira:</t>
  </si>
  <si>
    <t>Informe o rendimento da carteira</t>
  </si>
  <si>
    <t>Sugestão de investimento:</t>
  </si>
  <si>
    <t>INVESTIMENTO MENSAL</t>
  </si>
  <si>
    <t>Quanto você consegue investir todo mês?</t>
  </si>
  <si>
    <t>Informe quanto pretende investir</t>
  </si>
  <si>
    <t>Por quanto tempo você pretende investir?</t>
  </si>
  <si>
    <t>Informe quantos anos quer investr</t>
  </si>
  <si>
    <t>Taxa de rendimento mensal?</t>
  </si>
  <si>
    <t>Patrimônio acumulado ao final do período:</t>
  </si>
  <si>
    <t>Quanto o patrimônio pode gerar por mês:</t>
  </si>
  <si>
    <t>PROJEÇÃO DE LONGO PRAZO</t>
  </si>
  <si>
    <t>DIVIDENDOS</t>
  </si>
  <si>
    <t>Prazo de 2 anos</t>
  </si>
  <si>
    <t>Prazo de 5 anos</t>
  </si>
  <si>
    <t>Prazo de 10 anos</t>
  </si>
  <si>
    <t>Prazo de 20 anos</t>
  </si>
  <si>
    <t>Prazo de 30 anos</t>
  </si>
  <si>
    <t>PERFIL DO INVESTIDOR</t>
  </si>
  <si>
    <t>Agressivo</t>
  </si>
  <si>
    <t>Selecione seu perfil</t>
  </si>
  <si>
    <t>Valor a ser investido por mês: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</si>
  <si>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</si>
  <si>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</si>
  <si>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</si>
  <si>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</si>
  <si>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</si>
  <si>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</si>
  <si>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</si>
  <si>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</si>
  <si>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</si>
  <si>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</si>
  <si>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</si>
  <si>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PERCENTUAL</t>
  </si>
  <si>
    <t>Conservador</t>
  </si>
  <si>
    <t>%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</si>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</sst>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>
    <font>
      <sz val="11"/>
      <color theme="1"/>
      <name val="Aptos Narrow"/>
      <family val="2"/>
      <scheme val="minor"/>
    </font>
    <font>
      <b/>
      <sz val="17"/>
      <color rgb="FFFFFFFF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scheme val="minor"/>
    </font>
    <font>
      <sz val="12"/>
      <color theme="1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rgb="FF9C5700"/>
      <name val="Calibri"/>
      <scheme val="minor"/>
    </font>
    <font>
      <b/>
      <sz val="11"/>
      <color theme="1"/>
      <name val="Aptos Narrow"/>
      <family val="2"/>
      <scheme val="minor"/>
    </font>
    <font>
      <b/>
      <sz val="11"/>
      <color rgb="FF9C5700"/>
      <name val="Calibri"/>
      <scheme val="minor"/>
    </font>
    <font>
      <b/>
      <sz val="11"/>
      <color theme="0"/>
      <name val="Aptos Narrow"/>
      <family val="2"/>
      <scheme val="minor"/>
    </font>
    <font>
      <b/>
      <sz val="9"/>
      <color rgb="FF65CDFD"/>
      <name val="Aptos Narrow"/>
      <scheme val="minor"/>
    </font>
    <font>
      <b/>
      <sz val="11"/>
      <color rgb="FF65CDFD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D02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5CDF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000000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rgb="FF000000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rgb="FF000000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000000"/>
      </left>
      <right style="medium">
        <color theme="0" tint="-0.34998626667073579"/>
      </right>
      <top style="medium">
        <color theme="0" tint="-0.34998626667073579"/>
      </top>
      <bottom style="medium">
        <color rgb="FF000000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rgb="FF000000"/>
      </bottom>
      <diagonal/>
    </border>
    <border>
      <left style="medium">
        <color theme="0" tint="-0.34998626667073579"/>
      </left>
      <right style="medium">
        <color rgb="FF000000"/>
      </right>
      <top style="medium">
        <color theme="0" tint="-0.34998626667073579"/>
      </top>
      <bottom style="medium">
        <color rgb="FF000000"/>
      </bottom>
      <diagonal/>
    </border>
    <border>
      <left style="medium">
        <color theme="0" tint="-0.34998626667073579"/>
      </left>
      <right style="medium">
        <color rgb="FF000000"/>
      </right>
      <top style="medium">
        <color rgb="FF000000"/>
      </top>
      <bottom style="medium">
        <color theme="0" tint="-0.34998626667073579"/>
      </bottom>
      <diagonal/>
    </border>
    <border>
      <left/>
      <right style="medium">
        <color rgb="FF000000"/>
      </right>
      <top style="medium">
        <color rgb="FF000000"/>
      </top>
      <bottom style="medium">
        <color theme="0" tint="-0.34998626667073579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theme="0" tint="-0.249977111117893"/>
      </right>
      <top style="medium">
        <color rgb="FF000000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000000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rgb="FF000000"/>
      </right>
      <top style="medium">
        <color rgb="FF000000"/>
      </top>
      <bottom style="medium">
        <color theme="0" tint="-0.249977111117893"/>
      </bottom>
      <diagonal/>
    </border>
    <border>
      <left style="medium">
        <color rgb="FF000000"/>
      </left>
      <right style="medium">
        <color theme="0" tint="-0.249977111117893"/>
      </right>
      <top style="medium">
        <color theme="0" tint="-0.249977111117893"/>
      </top>
      <bottom style="medium">
        <color rgb="FF000000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rgb="FF000000"/>
      </bottom>
      <diagonal/>
    </border>
    <border>
      <left style="medium">
        <color theme="0" tint="-0.249977111117893"/>
      </left>
      <right style="medium">
        <color rgb="FF000000"/>
      </right>
      <top style="medium">
        <color theme="0" tint="-0.249977111117893"/>
      </top>
      <bottom style="medium">
        <color rgb="FF000000"/>
      </bottom>
      <diagonal/>
    </border>
    <border>
      <left style="medium">
        <color rgb="FF000000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rgb="FF00000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theme="0" tint="-0.34998626667073579"/>
      </right>
      <top style="medium">
        <color rgb="FF000000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rgb="FF000000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theme="0" tint="-0.249977111117893"/>
      </right>
      <top style="medium">
        <color rgb="FF000000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000000"/>
      </top>
      <bottom/>
      <diagonal/>
    </border>
    <border>
      <left style="medium">
        <color theme="0" tint="-0.249977111117893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7" borderId="0" applyNumberFormat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Font="1"/>
    <xf numFmtId="0" fontId="1" fillId="4" borderId="0" xfId="0" applyFont="1" applyFill="1" applyBorder="1" applyAlignment="1">
      <alignment vertical="center" wrapText="1"/>
    </xf>
    <xf numFmtId="9" fontId="0" fillId="0" borderId="0" xfId="0" applyNumberFormat="1"/>
    <xf numFmtId="0" fontId="0" fillId="0" borderId="0" xfId="0" applyAlignment="1"/>
    <xf numFmtId="0" fontId="6" fillId="0" borderId="8" xfId="0" applyFont="1" applyBorder="1" applyAlignment="1">
      <alignment vertical="center"/>
    </xf>
    <xf numFmtId="10" fontId="6" fillId="0" borderId="8" xfId="0" applyNumberFormat="1" applyFont="1" applyBorder="1" applyAlignment="1">
      <alignment vertical="center"/>
    </xf>
    <xf numFmtId="8" fontId="6" fillId="3" borderId="8" xfId="0" applyNumberFormat="1" applyFont="1" applyFill="1" applyBorder="1" applyAlignment="1">
      <alignment vertical="center"/>
    </xf>
    <xf numFmtId="8" fontId="6" fillId="3" borderId="11" xfId="0" applyNumberFormat="1" applyFont="1" applyFill="1" applyBorder="1" applyAlignment="1">
      <alignment vertical="center"/>
    </xf>
    <xf numFmtId="0" fontId="4" fillId="3" borderId="6" xfId="0" applyFont="1" applyFill="1" applyBorder="1"/>
    <xf numFmtId="0" fontId="4" fillId="3" borderId="7" xfId="0" applyFont="1" applyFill="1" applyBorder="1"/>
    <xf numFmtId="8" fontId="6" fillId="3" borderId="5" xfId="0" applyNumberFormat="1" applyFont="1" applyFill="1" applyBorder="1" applyAlignment="1">
      <alignment horizontal="right"/>
    </xf>
    <xf numFmtId="8" fontId="6" fillId="3" borderId="8" xfId="0" applyNumberFormat="1" applyFont="1" applyFill="1" applyBorder="1" applyAlignment="1">
      <alignment horizontal="right"/>
    </xf>
    <xf numFmtId="0" fontId="4" fillId="3" borderId="9" xfId="0" applyFont="1" applyFill="1" applyBorder="1"/>
    <xf numFmtId="8" fontId="6" fillId="3" borderId="10" xfId="0" applyNumberFormat="1" applyFont="1" applyFill="1" applyBorder="1" applyAlignment="1">
      <alignment horizontal="right"/>
    </xf>
    <xf numFmtId="8" fontId="6" fillId="3" borderId="11" xfId="0" applyNumberFormat="1" applyFont="1" applyFill="1" applyBorder="1" applyAlignment="1">
      <alignment horizontal="right"/>
    </xf>
    <xf numFmtId="10" fontId="6" fillId="0" borderId="8" xfId="0" applyNumberFormat="1" applyFont="1" applyBorder="1"/>
    <xf numFmtId="164" fontId="6" fillId="3" borderId="11" xfId="0" applyNumberFormat="1" applyFont="1" applyFill="1" applyBorder="1"/>
    <xf numFmtId="8" fontId="6" fillId="3" borderId="4" xfId="0" applyNumberFormat="1" applyFont="1" applyFill="1" applyBorder="1" applyAlignment="1">
      <alignment horizontal="right"/>
    </xf>
    <xf numFmtId="164" fontId="0" fillId="0" borderId="0" xfId="0" applyNumberFormat="1"/>
    <xf numFmtId="0" fontId="0" fillId="0" borderId="14" xfId="0" applyBorder="1"/>
    <xf numFmtId="0" fontId="0" fillId="6" borderId="25" xfId="0" applyFill="1" applyBorder="1"/>
    <xf numFmtId="9" fontId="0" fillId="6" borderId="26" xfId="0" applyNumberFormat="1" applyFill="1" applyBorder="1"/>
    <xf numFmtId="164" fontId="0" fillId="6" borderId="27" xfId="0" applyNumberFormat="1" applyFill="1" applyBorder="1"/>
    <xf numFmtId="0" fontId="8" fillId="3" borderId="22" xfId="0" applyFont="1" applyFill="1" applyBorder="1"/>
    <xf numFmtId="0" fontId="8" fillId="3" borderId="23" xfId="0" applyFont="1" applyFill="1" applyBorder="1"/>
    <xf numFmtId="164" fontId="8" fillId="3" borderId="24" xfId="0" applyNumberFormat="1" applyFont="1" applyFill="1" applyBorder="1"/>
    <xf numFmtId="0" fontId="0" fillId="3" borderId="28" xfId="0" applyFill="1" applyBorder="1"/>
    <xf numFmtId="164" fontId="6" fillId="0" borderId="12" xfId="0" applyNumberFormat="1" applyFont="1" applyBorder="1"/>
    <xf numFmtId="164" fontId="6" fillId="0" borderId="12" xfId="0" applyNumberFormat="1" applyFont="1" applyBorder="1" applyAlignment="1">
      <alignment vertical="center"/>
    </xf>
    <xf numFmtId="0" fontId="4" fillId="3" borderId="31" xfId="0" applyFont="1" applyFill="1" applyBorder="1"/>
    <xf numFmtId="8" fontId="6" fillId="3" borderId="32" xfId="0" applyNumberFormat="1" applyFont="1" applyFill="1" applyBorder="1" applyAlignment="1">
      <alignment horizontal="right"/>
    </xf>
    <xf numFmtId="8" fontId="6" fillId="3" borderId="13" xfId="0" applyNumberFormat="1" applyFont="1" applyFill="1" applyBorder="1" applyAlignment="1">
      <alignment horizontal="right"/>
    </xf>
    <xf numFmtId="0" fontId="3" fillId="2" borderId="33" xfId="0" applyFont="1" applyFill="1" applyBorder="1" applyAlignment="1">
      <alignment horizontal="center" vertical="center"/>
    </xf>
    <xf numFmtId="0" fontId="0" fillId="6" borderId="19" xfId="0" applyFill="1" applyBorder="1"/>
    <xf numFmtId="9" fontId="0" fillId="6" borderId="20" xfId="0" applyNumberFormat="1" applyFill="1" applyBorder="1"/>
    <xf numFmtId="164" fontId="0" fillId="6" borderId="21" xfId="0" applyNumberFormat="1" applyFill="1" applyBorder="1"/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9" fillId="7" borderId="2" xfId="1" applyFont="1" applyBorder="1"/>
    <xf numFmtId="0" fontId="9" fillId="7" borderId="1" xfId="1" applyFont="1" applyBorder="1"/>
    <xf numFmtId="164" fontId="8" fillId="3" borderId="28" xfId="0" applyNumberFormat="1" applyFont="1" applyFill="1" applyBorder="1"/>
    <xf numFmtId="0" fontId="8" fillId="3" borderId="29" xfId="0" applyFont="1" applyFill="1" applyBorder="1"/>
    <xf numFmtId="0" fontId="0" fillId="0" borderId="0" xfId="0" applyAlignment="1">
      <alignment horizontal="left"/>
    </xf>
    <xf numFmtId="0" fontId="0" fillId="0" borderId="17" xfId="0" applyBorder="1"/>
    <xf numFmtId="9" fontId="0" fillId="0" borderId="18" xfId="0" applyNumberFormat="1" applyBorder="1"/>
    <xf numFmtId="0" fontId="0" fillId="0" borderId="15" xfId="0" applyBorder="1"/>
    <xf numFmtId="9" fontId="0" fillId="0" borderId="16" xfId="0" applyNumberFormat="1" applyBorder="1"/>
    <xf numFmtId="0" fontId="7" fillId="7" borderId="30" xfId="1" applyBorder="1"/>
    <xf numFmtId="9" fontId="7" fillId="7" borderId="30" xfId="1" applyNumberFormat="1" applyBorder="1"/>
    <xf numFmtId="0" fontId="10" fillId="8" borderId="28" xfId="0" applyFont="1" applyFill="1" applyBorder="1"/>
    <xf numFmtId="0" fontId="10" fillId="8" borderId="37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6" borderId="31" xfId="0" applyFont="1" applyFill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65CDFD"/>
      <color rgb="FFF8D02E"/>
      <color rgb="FFC8C6C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BB-474D-ABF0-92CA014649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BB-474D-ABF0-92CA014649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BB-474D-ABF0-92CA014649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BB-474D-ABF0-92CA014649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BB-474D-ABF0-92CA014649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BB-474D-ABF0-92CA01464956}"/>
              </c:ext>
            </c:extLst>
          </c:dPt>
          <c:cat>
            <c:strRef>
              <c:f>Planilha1!$B$32:$B$37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F-4421-A42E-87D545E2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9525</xdr:rowOff>
    </xdr:from>
    <xdr:to>
      <xdr:col>2</xdr:col>
      <xdr:colOff>1752600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4A1CFB-4088-0FBE-DB26-CAA3A553A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3958" t="34792" r="11458" b="46250"/>
        <a:stretch>
          <a:fillRect/>
        </a:stretch>
      </xdr:blipFill>
      <xdr:spPr>
        <a:xfrm>
          <a:off x="1228725" y="9525"/>
          <a:ext cx="4000500" cy="101917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39</xdr:row>
      <xdr:rowOff>104775</xdr:rowOff>
    </xdr:from>
    <xdr:to>
      <xdr:col>4</xdr:col>
      <xdr:colOff>95250</xdr:colOff>
      <xdr:row>53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024142-2379-9F2D-28FB-54178D1D2FEB}"/>
            </a:ext>
            <a:ext uri="{147F2762-F138-4A5C-976F-8EAC2B608ADB}">
              <a16:predDERef xmlns:a16="http://schemas.microsoft.com/office/drawing/2014/main" pred="{7A4A1CFB-4088-0FBE-DB26-CAA3A553A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G39"/>
  <sheetViews>
    <sheetView showGridLines="0" tabSelected="1" topLeftCell="A4" workbookViewId="0">
      <selection activeCell="D9" activeCellId="1" sqref="D14 D9"/>
    </sheetView>
  </sheetViews>
  <sheetFormatPr defaultRowHeight="15"/>
  <cols>
    <col min="1" max="1" width="5.85546875" customWidth="1"/>
    <col min="2" max="2" width="46.28515625" customWidth="1"/>
    <col min="3" max="3" width="27.28515625" bestFit="1" customWidth="1"/>
    <col min="4" max="4" width="19.5703125" customWidth="1"/>
    <col min="5" max="5" width="25.7109375" customWidth="1"/>
    <col min="6" max="6" width="11.140625" customWidth="1"/>
    <col min="511" max="511" width="0" hidden="1" customWidth="1"/>
  </cols>
  <sheetData>
    <row r="8" spans="2:7" ht="21" customHeight="1">
      <c r="B8" s="67" t="s">
        <v>0</v>
      </c>
      <c r="C8" s="68"/>
      <c r="D8" s="69"/>
    </row>
    <row r="9" spans="2:7" ht="15.75">
      <c r="B9" s="61" t="s">
        <v>1</v>
      </c>
      <c r="C9" s="62"/>
      <c r="D9" s="30">
        <v>2000</v>
      </c>
      <c r="E9" s="57" t="s">
        <v>2</v>
      </c>
    </row>
    <row r="10" spans="2:7" ht="15.75">
      <c r="B10" s="63" t="s">
        <v>3</v>
      </c>
      <c r="C10" s="64"/>
      <c r="D10" s="18">
        <v>8.8999999999999999E-3</v>
      </c>
      <c r="E10" s="57" t="s">
        <v>4</v>
      </c>
    </row>
    <row r="11" spans="2:7" ht="15.75">
      <c r="B11" s="65" t="s">
        <v>5</v>
      </c>
      <c r="C11" s="66"/>
      <c r="D11" s="19">
        <f>D9*30%</f>
        <v>600</v>
      </c>
      <c r="E11" s="58"/>
    </row>
    <row r="12" spans="2:7">
      <c r="E12" s="58"/>
    </row>
    <row r="13" spans="2:7" ht="21.75" customHeight="1">
      <c r="B13" s="70" t="s">
        <v>6</v>
      </c>
      <c r="C13" s="71"/>
      <c r="D13" s="72"/>
      <c r="E13" s="58"/>
    </row>
    <row r="14" spans="2:7" ht="18" customHeight="1">
      <c r="B14" s="77" t="s">
        <v>7</v>
      </c>
      <c r="C14" s="78"/>
      <c r="D14" s="31">
        <v>400</v>
      </c>
      <c r="E14" s="57" t="s">
        <v>8</v>
      </c>
    </row>
    <row r="15" spans="2:7" ht="17.25" customHeight="1">
      <c r="B15" s="75" t="s">
        <v>9</v>
      </c>
      <c r="C15" s="76"/>
      <c r="D15" s="7">
        <v>5</v>
      </c>
      <c r="E15" s="57" t="s">
        <v>10</v>
      </c>
      <c r="G15" s="4"/>
    </row>
    <row r="16" spans="2:7" ht="15.75">
      <c r="B16" s="75" t="s">
        <v>11</v>
      </c>
      <c r="C16" s="76"/>
      <c r="D16" s="8">
        <v>1.0789999999999999E-2</v>
      </c>
      <c r="E16" s="58"/>
    </row>
    <row r="17" spans="1:6" ht="15.75">
      <c r="B17" s="73" t="s">
        <v>12</v>
      </c>
      <c r="C17" s="74"/>
      <c r="D17" s="9" cm="1">
        <f t="array" ref="D17">FV(taxa_mensal,qtd_anos*12,aporte*-1)</f>
        <v>33510.765599395054</v>
      </c>
      <c r="E17" s="58"/>
    </row>
    <row r="18" spans="1:6" ht="15.75">
      <c r="B18" s="79" t="s">
        <v>13</v>
      </c>
      <c r="C18" s="80"/>
      <c r="D18" s="10" cm="1">
        <f t="array" ref="D18">patrimonio*rendimento_carteira</f>
        <v>298.245813834616</v>
      </c>
      <c r="E18" s="58"/>
    </row>
    <row r="19" spans="1:6">
      <c r="A19" s="3"/>
      <c r="B19" s="6"/>
      <c r="C19" s="6"/>
      <c r="E19" s="58"/>
      <c r="F19" s="5"/>
    </row>
    <row r="20" spans="1:6" ht="19.5" customHeight="1">
      <c r="A20" s="3"/>
      <c r="B20" s="70" t="s">
        <v>14</v>
      </c>
      <c r="C20" s="71"/>
      <c r="D20" s="35" t="s">
        <v>15</v>
      </c>
      <c r="E20" s="59"/>
    </row>
    <row r="21" spans="1:6" ht="15.75">
      <c r="A21" s="1">
        <v>2</v>
      </c>
      <c r="B21" s="32" t="s">
        <v>16</v>
      </c>
      <c r="C21" s="33">
        <f>FV($D$16,$A21*12,$D$14*-1)</f>
        <v>10891.050919058087</v>
      </c>
      <c r="D21" s="34" cm="1">
        <f t="array" ref="D21">C21*rendimento_carteira</f>
        <v>96.930353179616972</v>
      </c>
      <c r="E21" s="58"/>
    </row>
    <row r="22" spans="1:6" ht="15.75">
      <c r="A22" s="1">
        <v>5</v>
      </c>
      <c r="B22" s="11" t="s">
        <v>17</v>
      </c>
      <c r="C22" s="20">
        <f>FV($D$16,$A22*12,$D$14*-1)</f>
        <v>33510.765599395054</v>
      </c>
      <c r="D22" s="14" cm="1">
        <f t="array" ref="D22">C22*rendimento_carteira</f>
        <v>298.245813834616</v>
      </c>
      <c r="E22" s="58"/>
    </row>
    <row r="23" spans="1:6" ht="15.75">
      <c r="A23" s="1">
        <v>10</v>
      </c>
      <c r="B23" s="12" t="s">
        <v>18</v>
      </c>
      <c r="C23" s="13">
        <f>FV($D$16,$A23*12,$D$14*-1)</f>
        <v>97313.685012068876</v>
      </c>
      <c r="D23" s="14" cm="1">
        <f t="array" ref="D23">C23*rendimento_carteira</f>
        <v>866.09179660741302</v>
      </c>
      <c r="E23" s="58"/>
    </row>
    <row r="24" spans="1:6" ht="15.75">
      <c r="A24" s="1">
        <v>20</v>
      </c>
      <c r="B24" s="12" t="s">
        <v>19</v>
      </c>
      <c r="C24" s="13">
        <f>FV($D$16,$A24*12,$D$14*-1)</f>
        <v>450079.36003883224</v>
      </c>
      <c r="D24" s="14" cm="1">
        <f t="array" ref="D24">C24*rendimento_carteira</f>
        <v>4005.7063043456069</v>
      </c>
      <c r="E24" s="58"/>
    </row>
    <row r="25" spans="1:6" ht="15.75">
      <c r="A25" s="1">
        <v>30</v>
      </c>
      <c r="B25" s="15" t="s">
        <v>20</v>
      </c>
      <c r="C25" s="16">
        <f>FV($D$16,$A25*12,$D$14*-1)</f>
        <v>1728867.8620018859</v>
      </c>
      <c r="D25" s="17" cm="1">
        <f t="array" ref="D25">C25*rendimento_carteira</f>
        <v>15386.923971816785</v>
      </c>
      <c r="E25" s="58"/>
    </row>
    <row r="26" spans="1:6">
      <c r="C26" s="2"/>
      <c r="D26" s="2"/>
      <c r="E26" s="59"/>
    </row>
    <row r="27" spans="1:6">
      <c r="C27" s="2"/>
      <c r="D27" s="2"/>
      <c r="E27" s="58"/>
    </row>
    <row r="28" spans="1:6">
      <c r="B28" s="42" t="s">
        <v>21</v>
      </c>
      <c r="C28" s="42" t="s">
        <v>22</v>
      </c>
      <c r="D28" s="43"/>
      <c r="E28" s="60" t="s">
        <v>23</v>
      </c>
    </row>
    <row r="29" spans="1:6">
      <c r="B29" s="29" t="s">
        <v>24</v>
      </c>
      <c r="C29" s="44" cm="1">
        <f t="array" ref="C29">aporte</f>
        <v>400</v>
      </c>
      <c r="D29" s="45"/>
      <c r="E29" s="58"/>
    </row>
    <row r="30" spans="1:6">
      <c r="C30" s="21"/>
      <c r="E30" s="58"/>
    </row>
    <row r="31" spans="1:6">
      <c r="B31" s="39" t="s">
        <v>25</v>
      </c>
      <c r="C31" s="40" t="s">
        <v>26</v>
      </c>
      <c r="D31" s="41" t="s">
        <v>27</v>
      </c>
      <c r="E31" s="58"/>
    </row>
    <row r="32" spans="1:6">
      <c r="B32" s="36" t="s">
        <v>28</v>
      </c>
      <c r="C32" s="37">
        <f>VLOOKUP($C$28&amp;"-"&amp;B32,Tabela_Perfil!$A:$D,4,FALSE)</f>
        <v>0.5</v>
      </c>
      <c r="D32" s="38">
        <f>C32*$C$29</f>
        <v>200</v>
      </c>
      <c r="E32" s="58"/>
    </row>
    <row r="33" spans="2:5">
      <c r="B33" s="23" t="s">
        <v>29</v>
      </c>
      <c r="C33" s="24">
        <f>VLOOKUP($C$28&amp;"-"&amp;B33,Tabela_Perfil!$A:$D,4,FALSE)</f>
        <v>0.1</v>
      </c>
      <c r="D33" s="25">
        <f t="shared" ref="D33:D37" si="0">C33*$C$29</f>
        <v>40</v>
      </c>
      <c r="E33" s="58"/>
    </row>
    <row r="34" spans="2:5">
      <c r="B34" s="23" t="s">
        <v>30</v>
      </c>
      <c r="C34" s="24">
        <f>VLOOKUP($C$28&amp;"-"&amp;B34,Tabela_Perfil!$A:$D,4,FALSE)</f>
        <v>0.05</v>
      </c>
      <c r="D34" s="25">
        <f t="shared" si="0"/>
        <v>20</v>
      </c>
      <c r="E34" s="58"/>
    </row>
    <row r="35" spans="2:5">
      <c r="B35" s="23" t="s">
        <v>31</v>
      </c>
      <c r="C35" s="24">
        <f>VLOOKUP($C$28&amp;"-"&amp;B35,Tabela_Perfil!$A:$D,4,FALSE)</f>
        <v>0.05</v>
      </c>
      <c r="D35" s="25">
        <f t="shared" si="0"/>
        <v>20</v>
      </c>
      <c r="E35" s="58"/>
    </row>
    <row r="36" spans="2:5">
      <c r="B36" s="23" t="s">
        <v>32</v>
      </c>
      <c r="C36" s="24">
        <f>VLOOKUP($C$28&amp;"-"&amp;B36,Tabela_Perfil!$A:$D,4,FALSE)</f>
        <v>0.2</v>
      </c>
      <c r="D36" s="25">
        <f t="shared" si="0"/>
        <v>80</v>
      </c>
      <c r="E36" s="58"/>
    </row>
    <row r="37" spans="2:5">
      <c r="B37" s="23" t="s">
        <v>33</v>
      </c>
      <c r="C37" s="24">
        <f>VLOOKUP($C$28&amp;"-"&amp;B37,Tabela_Perfil!$A:$D,4,FALSE)</f>
        <v>0.1</v>
      </c>
      <c r="D37" s="25">
        <f t="shared" si="0"/>
        <v>40</v>
      </c>
      <c r="E37" s="58"/>
    </row>
    <row r="38" spans="2:5">
      <c r="B38" s="26"/>
      <c r="C38" s="27"/>
      <c r="D38" s="28">
        <f>SUM(D32:D37)</f>
        <v>400</v>
      </c>
      <c r="E38" s="58"/>
    </row>
    <row r="39" spans="2:5">
      <c r="E39" s="46"/>
    </row>
  </sheetData>
  <mergeCells count="11">
    <mergeCell ref="B20:C20"/>
    <mergeCell ref="B17:C17"/>
    <mergeCell ref="B16:C16"/>
    <mergeCell ref="B15:C15"/>
    <mergeCell ref="B14:C14"/>
    <mergeCell ref="B18:C18"/>
    <mergeCell ref="B9:C9"/>
    <mergeCell ref="B10:C10"/>
    <mergeCell ref="B11:C11"/>
    <mergeCell ref="B8:D8"/>
    <mergeCell ref="B13:D13"/>
  </mergeCells>
  <dataValidations count="1">
    <dataValidation type="list" allowBlank="1" showInputMessage="1" showErrorMessage="1" sqref="C28" xr:uid="{02313726-7EE2-4E5C-AC99-B1A672F6F89D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FC01-1627-416D-882E-F8CCA685F402}">
  <dimension ref="A2:H20"/>
  <sheetViews>
    <sheetView workbookViewId="0">
      <selection activeCell="D4" sqref="D4"/>
    </sheetView>
  </sheetViews>
  <sheetFormatPr defaultRowHeight="15"/>
  <cols>
    <col min="1" max="1" width="27.28515625" bestFit="1" customWidth="1"/>
    <col min="2" max="2" width="11.85546875" bestFit="1" customWidth="1"/>
    <col min="3" max="3" width="15.7109375" bestFit="1" customWidth="1"/>
    <col min="4" max="4" width="12.42578125" bestFit="1" customWidth="1"/>
    <col min="7" max="7" width="22" customWidth="1"/>
    <col min="8" max="8" width="9.42578125" bestFit="1" customWidth="1"/>
  </cols>
  <sheetData>
    <row r="2" spans="1:8">
      <c r="A2" s="53" t="s">
        <v>34</v>
      </c>
      <c r="B2" s="54" t="s">
        <v>35</v>
      </c>
      <c r="C2" s="54" t="s">
        <v>25</v>
      </c>
      <c r="D2" s="55" t="s">
        <v>36</v>
      </c>
    </row>
    <row r="3" spans="1:8">
      <c r="A3" s="47" t="str">
        <f>B3&amp;"-"&amp;C3</f>
        <v>Conservador-Papel</v>
      </c>
      <c r="B3" s="2" t="s">
        <v>37</v>
      </c>
      <c r="C3" s="2" t="s">
        <v>28</v>
      </c>
      <c r="D3" s="48">
        <v>0.3</v>
      </c>
    </row>
    <row r="4" spans="1:8">
      <c r="A4" s="47" t="str">
        <f t="shared" ref="A4:A20" si="0">B4&amp;"-"&amp;C4</f>
        <v>Conservador-Tijolo</v>
      </c>
      <c r="B4" s="2" t="s">
        <v>37</v>
      </c>
      <c r="C4" s="2" t="s">
        <v>29</v>
      </c>
      <c r="D4" s="48">
        <v>0.5</v>
      </c>
      <c r="G4" s="56" t="s">
        <v>34</v>
      </c>
      <c r="H4" s="56" t="s">
        <v>38</v>
      </c>
    </row>
    <row r="5" spans="1:8">
      <c r="A5" s="47" t="str">
        <f t="shared" si="0"/>
        <v>Conservador-Híbridos</v>
      </c>
      <c r="B5" s="2" t="s">
        <v>37</v>
      </c>
      <c r="C5" s="2" t="s">
        <v>30</v>
      </c>
      <c r="D5" s="48">
        <v>0.1</v>
      </c>
      <c r="G5" s="51" t="s">
        <v>39</v>
      </c>
      <c r="H5" s="52">
        <f>VLOOKUP(G5,$A:$D,4,FALSE)</f>
        <v>0.35</v>
      </c>
    </row>
    <row r="6" spans="1:8">
      <c r="A6" s="47" t="str">
        <f t="shared" si="0"/>
        <v>Conservador-FOFs</v>
      </c>
      <c r="B6" s="2" t="s">
        <v>37</v>
      </c>
      <c r="C6" s="2" t="s">
        <v>31</v>
      </c>
      <c r="D6" s="48">
        <v>0.1</v>
      </c>
    </row>
    <row r="7" spans="1:8">
      <c r="A7" s="47" t="str">
        <f t="shared" si="0"/>
        <v>Conservador-Desenvolvimento</v>
      </c>
      <c r="B7" s="2" t="s">
        <v>37</v>
      </c>
      <c r="C7" s="2" t="s">
        <v>32</v>
      </c>
      <c r="D7" s="48">
        <v>0</v>
      </c>
    </row>
    <row r="8" spans="1:8">
      <c r="A8" s="49" t="str">
        <f t="shared" si="0"/>
        <v>Conservador-Hotelarias</v>
      </c>
      <c r="B8" s="22" t="s">
        <v>37</v>
      </c>
      <c r="C8" s="22" t="s">
        <v>33</v>
      </c>
      <c r="D8" s="50">
        <v>0</v>
      </c>
    </row>
    <row r="9" spans="1:8">
      <c r="A9" s="47" t="str">
        <f t="shared" si="0"/>
        <v>Moderado-Papel</v>
      </c>
      <c r="B9" s="2" t="s">
        <v>40</v>
      </c>
      <c r="C9" s="2" t="s">
        <v>28</v>
      </c>
      <c r="D9" s="48">
        <v>0.32</v>
      </c>
    </row>
    <row r="10" spans="1:8">
      <c r="A10" s="47" t="str">
        <f t="shared" si="0"/>
        <v>Moderado-Tijolo</v>
      </c>
      <c r="B10" s="2" t="s">
        <v>40</v>
      </c>
      <c r="C10" s="2" t="s">
        <v>29</v>
      </c>
      <c r="D10" s="48">
        <v>0.35</v>
      </c>
    </row>
    <row r="11" spans="1:8">
      <c r="A11" s="47" t="str">
        <f t="shared" si="0"/>
        <v>Moderado-Híbridos</v>
      </c>
      <c r="B11" s="2" t="s">
        <v>40</v>
      </c>
      <c r="C11" s="2" t="s">
        <v>30</v>
      </c>
      <c r="D11" s="48">
        <v>0.08</v>
      </c>
    </row>
    <row r="12" spans="1:8">
      <c r="A12" s="47" t="str">
        <f t="shared" si="0"/>
        <v>Moderado-FOFs</v>
      </c>
      <c r="B12" s="2" t="s">
        <v>40</v>
      </c>
      <c r="C12" s="2" t="s">
        <v>31</v>
      </c>
      <c r="D12" s="48">
        <v>0.05</v>
      </c>
    </row>
    <row r="13" spans="1:8">
      <c r="A13" s="47" t="str">
        <f t="shared" si="0"/>
        <v>Moderado-Desenvolvimento</v>
      </c>
      <c r="B13" s="2" t="s">
        <v>40</v>
      </c>
      <c r="C13" s="2" t="s">
        <v>32</v>
      </c>
      <c r="D13" s="48">
        <v>0.1</v>
      </c>
    </row>
    <row r="14" spans="1:8">
      <c r="A14" s="49" t="str">
        <f t="shared" si="0"/>
        <v>Moderado-Hotelarias</v>
      </c>
      <c r="B14" s="22" t="s">
        <v>40</v>
      </c>
      <c r="C14" s="22" t="s">
        <v>33</v>
      </c>
      <c r="D14" s="50">
        <v>0.1</v>
      </c>
    </row>
    <row r="15" spans="1:8">
      <c r="A15" s="47" t="str">
        <f t="shared" si="0"/>
        <v>Agressivo-Papel</v>
      </c>
      <c r="B15" s="2" t="s">
        <v>22</v>
      </c>
      <c r="C15" s="2" t="s">
        <v>28</v>
      </c>
      <c r="D15" s="48">
        <v>0.5</v>
      </c>
    </row>
    <row r="16" spans="1:8">
      <c r="A16" s="47" t="str">
        <f t="shared" si="0"/>
        <v>Agressivo-Tijolo</v>
      </c>
      <c r="B16" s="2" t="s">
        <v>22</v>
      </c>
      <c r="C16" s="2" t="s">
        <v>29</v>
      </c>
      <c r="D16" s="48">
        <v>0.1</v>
      </c>
    </row>
    <row r="17" spans="1:4">
      <c r="A17" s="47" t="str">
        <f t="shared" si="0"/>
        <v>Agressivo-Híbridos</v>
      </c>
      <c r="B17" s="2" t="s">
        <v>22</v>
      </c>
      <c r="C17" s="2" t="s">
        <v>30</v>
      </c>
      <c r="D17" s="48">
        <v>0.05</v>
      </c>
    </row>
    <row r="18" spans="1:4">
      <c r="A18" s="47" t="str">
        <f t="shared" si="0"/>
        <v>Agressivo-FOFs</v>
      </c>
      <c r="B18" s="2" t="s">
        <v>22</v>
      </c>
      <c r="C18" s="2" t="s">
        <v>31</v>
      </c>
      <c r="D18" s="48">
        <v>0.05</v>
      </c>
    </row>
    <row r="19" spans="1:4">
      <c r="A19" s="47" t="str">
        <f t="shared" si="0"/>
        <v>Agressivo-Desenvolvimento</v>
      </c>
      <c r="B19" s="2" t="s">
        <v>22</v>
      </c>
      <c r="C19" s="2" t="s">
        <v>32</v>
      </c>
      <c r="D19" s="48">
        <v>0.2</v>
      </c>
    </row>
    <row r="20" spans="1:4">
      <c r="A20" s="49" t="str">
        <f t="shared" si="0"/>
        <v>Agressivo-Hotelarias</v>
      </c>
      <c r="B20" s="22" t="s">
        <v>22</v>
      </c>
      <c r="C20" s="22" t="s">
        <v>33</v>
      </c>
      <c r="D20" s="5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2026-01-17T13:11:53Z</dcterms:created>
  <dcterms:modified xsi:type="dcterms:W3CDTF">2026-01-19T00:14:01Z</dcterms:modified>
  <cp:category/>
  <cp:contentStatus/>
</cp:coreProperties>
</file>